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dtudk.sharepoint.com/sites/TE-2024/Delte dokumenter/General/paper_figures/submission_2/figure_17/"/>
    </mc:Choice>
  </mc:AlternateContent>
  <xr:revisionPtr revIDLastSave="178" documentId="11_AD4D1D646341095ACB7000FE55D2DDF0683EDF1D" xr6:coauthVersionLast="47" xr6:coauthVersionMax="47" xr10:uidLastSave="{EFF3B0E5-D60F-4749-8193-58D0D2A8B296}"/>
  <bookViews>
    <workbookView xWindow="-90" yWindow="-90" windowWidth="19380" windowHeight="1146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3" i="1"/>
  <c r="I4" i="1"/>
  <c r="I5" i="1"/>
  <c r="I6" i="1"/>
  <c r="R12" i="1"/>
  <c r="R11" i="1"/>
  <c r="I3" i="1"/>
  <c r="O4" i="1"/>
  <c r="O5" i="1"/>
  <c r="O6" i="1"/>
  <c r="O3" i="1"/>
  <c r="M4" i="1"/>
  <c r="M5" i="1"/>
  <c r="M6" i="1"/>
  <c r="M3" i="1"/>
  <c r="N6" i="1"/>
  <c r="N5" i="1"/>
  <c r="N4" i="1"/>
  <c r="N3" i="1"/>
  <c r="L6" i="1"/>
  <c r="L5" i="1"/>
  <c r="L4" i="1"/>
  <c r="L3" i="1"/>
</calcChain>
</file>

<file path=xl/sharedStrings.xml><?xml version="1.0" encoding="utf-8"?>
<sst xmlns="http://schemas.openxmlformats.org/spreadsheetml/2006/main" count="20" uniqueCount="16">
  <si>
    <t>speed_experimental</t>
  </si>
  <si>
    <t>torque_experimental</t>
  </si>
  <si>
    <t>torque_barotropic</t>
  </si>
  <si>
    <t>torque_mixture</t>
  </si>
  <si>
    <t>torque_barotropic_corrected</t>
  </si>
  <si>
    <t>torque_mixture_corrected</t>
  </si>
  <si>
    <t>Mixture vs barotropic</t>
  </si>
  <si>
    <t>Original</t>
  </si>
  <si>
    <t>Corrected</t>
  </si>
  <si>
    <t>Original CFD data</t>
  </si>
  <si>
    <t>Experimental data</t>
  </si>
  <si>
    <t>speed_CFD</t>
  </si>
  <si>
    <t>Corrected CFD data</t>
  </si>
  <si>
    <t>Relative deviation with respect to experimental data</t>
  </si>
  <si>
    <t>Barotropic overspeed</t>
  </si>
  <si>
    <t>Barotropic mixture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</si>
</sst>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7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0" fontId="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/>
    <xf numFmtId="0" fontId="2" fillId="0" borderId="1" xfId="0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zoomScale="85" zoomScaleNormal="85" workbookViewId="0">
      <selection sqref="A1:B1"/>
    </sheetView>
  </sheetViews>
  <sheetFormatPr defaultRowHeight="14.75" x14ac:dyDescent="0.75"/>
  <cols>
    <col min="1" max="5" width="19.81640625" customWidth="1"/>
    <col min="6" max="7" width="26.90625" customWidth="1"/>
    <col min="9" max="10" width="11.08984375" style="2" customWidth="1"/>
    <col min="12" max="12" width="16.54296875" bestFit="1" customWidth="1"/>
    <col min="13" max="13" width="14.5" bestFit="1" customWidth="1"/>
    <col min="14" max="14" width="25.31640625" bestFit="1" customWidth="1"/>
    <col min="15" max="15" width="23" bestFit="1" customWidth="1"/>
    <col min="18" max="18" width="19.953125" bestFit="1" customWidth="1"/>
  </cols>
  <sheetData>
    <row r="1" spans="1:21" x14ac:dyDescent="0.75">
      <c r="A1" s="3" t="s">
        <v>10</v>
      </c>
      <c r="B1" s="3"/>
      <c r="C1" s="3" t="s">
        <v>9</v>
      </c>
      <c r="D1" s="3"/>
      <c r="E1" s="3"/>
      <c r="F1" s="3" t="s">
        <v>12</v>
      </c>
      <c r="G1" s="3"/>
      <c r="I1" s="3" t="s">
        <v>6</v>
      </c>
      <c r="J1" s="3"/>
      <c r="L1" s="3" t="s">
        <v>13</v>
      </c>
      <c r="M1" s="3"/>
      <c r="N1" s="3"/>
      <c r="O1" s="3"/>
      <c r="R1" t="s">
        <v>14</v>
      </c>
      <c r="U1" t="s">
        <v>15</v>
      </c>
    </row>
    <row r="2" spans="1:21" x14ac:dyDescent="0.75">
      <c r="A2" s="4" t="s">
        <v>0</v>
      </c>
      <c r="B2" s="4" t="s">
        <v>1</v>
      </c>
      <c r="C2" s="4" t="s">
        <v>11</v>
      </c>
      <c r="D2" s="4" t="s">
        <v>2</v>
      </c>
      <c r="E2" s="4" t="s">
        <v>3</v>
      </c>
      <c r="F2" s="4" t="s">
        <v>4</v>
      </c>
      <c r="G2" s="4" t="s">
        <v>5</v>
      </c>
      <c r="I2" s="9" t="s">
        <v>7</v>
      </c>
      <c r="J2" s="9" t="s">
        <v>8</v>
      </c>
      <c r="L2" s="4" t="s">
        <v>2</v>
      </c>
      <c r="M2" s="4" t="s">
        <v>3</v>
      </c>
      <c r="N2" s="4" t="s">
        <v>4</v>
      </c>
      <c r="O2" s="4" t="s">
        <v>5</v>
      </c>
      <c r="P2" s="5"/>
      <c r="R2">
        <v>1.0723</v>
      </c>
      <c r="U2">
        <v>1.0914999999999999</v>
      </c>
    </row>
    <row r="3" spans="1:21" x14ac:dyDescent="0.75">
      <c r="A3" s="7">
        <v>0.487893462</v>
      </c>
      <c r="B3" s="7">
        <v>92.655903230000007</v>
      </c>
      <c r="C3" s="7">
        <v>0.487893462</v>
      </c>
      <c r="D3" s="7">
        <v>106.751</v>
      </c>
      <c r="E3" s="7">
        <v>106.64100000000001</v>
      </c>
      <c r="F3" s="7">
        <v>95.77192517209798</v>
      </c>
      <c r="G3" s="7">
        <v>95.644759948328371</v>
      </c>
      <c r="H3" s="8"/>
      <c r="I3" s="10">
        <f>D3/E3-1</f>
        <v>1.0314982042554099E-3</v>
      </c>
      <c r="J3" s="10">
        <f>F3/G3-1</f>
        <v>1.3295576656611185E-3</v>
      </c>
      <c r="K3" s="1"/>
      <c r="L3" s="6">
        <f>(B3-D3)/B3</f>
        <v>-0.15212303025109689</v>
      </c>
      <c r="M3" s="6">
        <f>(B3-E3)/B3</f>
        <v>-0.15093584199686397</v>
      </c>
      <c r="N3" s="6">
        <f>(B3-F3)/B3</f>
        <v>-3.3630042269007544E-2</v>
      </c>
      <c r="O3" s="6">
        <f>(B3-G3)/B3</f>
        <v>-3.2257596268951333E-2</v>
      </c>
      <c r="P3" s="5"/>
    </row>
    <row r="4" spans="1:21" x14ac:dyDescent="0.75">
      <c r="A4" s="7">
        <v>0.74818401899999998</v>
      </c>
      <c r="B4" s="7">
        <v>75.721044800000001</v>
      </c>
      <c r="C4" s="7">
        <v>0.74818401899999998</v>
      </c>
      <c r="D4" s="7">
        <v>91.750699999999995</v>
      </c>
      <c r="E4" s="7">
        <v>91.421800000000005</v>
      </c>
      <c r="F4" s="7">
        <v>80.306660363121708</v>
      </c>
      <c r="G4" s="7">
        <v>79.960368329542561</v>
      </c>
      <c r="H4" s="8"/>
      <c r="I4" s="10">
        <f>D4/E4-1</f>
        <v>3.5976101980050856E-3</v>
      </c>
      <c r="J4" s="10">
        <f>F4/G4-1</f>
        <v>4.3307958781775291E-3</v>
      </c>
      <c r="K4" s="1"/>
      <c r="L4" s="6">
        <f>(B4-D4)/B4</f>
        <v>-0.2116935290887586</v>
      </c>
      <c r="M4" s="6">
        <f>(B4-E4)/B4</f>
        <v>-0.20734995457960192</v>
      </c>
      <c r="N4" s="6">
        <f>(B4-F4)/B4</f>
        <v>-6.0559327664238813E-2</v>
      </c>
      <c r="O4" s="6">
        <f>(B4-G4)/B4</f>
        <v>-5.5986067555456653E-2</v>
      </c>
      <c r="P4" s="5"/>
    </row>
    <row r="5" spans="1:21" x14ac:dyDescent="0.75">
      <c r="A5" s="7">
        <v>1</v>
      </c>
      <c r="B5" s="7">
        <v>59.746116139999998</v>
      </c>
      <c r="C5" s="7">
        <v>1</v>
      </c>
      <c r="D5" s="7">
        <v>76.7851</v>
      </c>
      <c r="E5" s="7">
        <v>76.268900000000002</v>
      </c>
      <c r="F5" s="7">
        <v>64.744075861809591</v>
      </c>
      <c r="G5" s="7">
        <v>64.208531816328573</v>
      </c>
      <c r="H5" s="8"/>
      <c r="I5" s="10">
        <f>D5/E5-1</f>
        <v>6.7681584499055258E-3</v>
      </c>
      <c r="J5" s="10">
        <f>F5/G5-1</f>
        <v>8.3406991303425215E-3</v>
      </c>
      <c r="K5" s="1"/>
      <c r="L5" s="6">
        <f>(B5-D5)/B5</f>
        <v>-0.28518981585469805</v>
      </c>
      <c r="M5" s="6">
        <f>(B5-E5)/B5</f>
        <v>-0.27654992370186904</v>
      </c>
      <c r="N5" s="6">
        <f>(B5-F5)/B5</f>
        <v>-8.3653299071325932E-2</v>
      </c>
      <c r="O5" s="6">
        <f>(B5-G5)/B5</f>
        <v>-7.4689636157637865E-2</v>
      </c>
      <c r="P5" s="5"/>
    </row>
    <row r="6" spans="1:21" x14ac:dyDescent="0.75">
      <c r="A6" s="7">
        <v>1.3311138010000001</v>
      </c>
      <c r="B6" s="7">
        <v>39.343218790000002</v>
      </c>
      <c r="C6" s="7">
        <v>1.3311138010000001</v>
      </c>
      <c r="D6" s="7">
        <v>53.593699999999998</v>
      </c>
      <c r="E6" s="7">
        <v>53.165399999999998</v>
      </c>
      <c r="F6" s="7">
        <v>40.509916722616076</v>
      </c>
      <c r="G6" s="7">
        <v>40.04163788020503</v>
      </c>
      <c r="H6" s="8"/>
      <c r="I6" s="10">
        <f>D6/E6-1</f>
        <v>8.0559913026141405E-3</v>
      </c>
      <c r="J6" s="10">
        <f>F6/G6-1</f>
        <v>1.1694797395951362E-2</v>
      </c>
      <c r="K6" s="1"/>
      <c r="L6" s="6">
        <f>(B6-D6)/B6</f>
        <v>-0.36220933742264344</v>
      </c>
      <c r="M6" s="6">
        <f>(B6-E6)/B6</f>
        <v>-0.35132309035968423</v>
      </c>
      <c r="N6" s="6">
        <f>(B6-F6)/B6</f>
        <v>-2.9654358959379748E-2</v>
      </c>
      <c r="O6" s="6">
        <f>(B6-G6)/B6</f>
        <v>-1.7751956034226368E-2</v>
      </c>
      <c r="P6" s="5"/>
    </row>
    <row r="11" spans="1:21" x14ac:dyDescent="0.75">
      <c r="R11">
        <f>R2^2</f>
        <v>1.1498272900000002</v>
      </c>
    </row>
    <row r="12" spans="1:21" x14ac:dyDescent="0.75">
      <c r="R12">
        <f>U2^2</f>
        <v>1.1913722499999999</v>
      </c>
    </row>
  </sheetData>
  <mergeCells count="5">
    <mergeCell ref="A1:B1"/>
    <mergeCell ref="C1:E1"/>
    <mergeCell ref="F1:G1"/>
    <mergeCell ref="L1:O1"/>
    <mergeCell ref="I1:J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6BC8CFF460446802F03DD2955164D" ma:contentTypeVersion="12" ma:contentTypeDescription="Create a new document." ma:contentTypeScope="" ma:versionID="7c94978da4dba21d1348b73af8a116d8">
  <xsd:schema xmlns:xsd="http://www.w3.org/2001/XMLSchema" xmlns:xs="http://www.w3.org/2001/XMLSchema" xmlns:p="http://schemas.microsoft.com/office/2006/metadata/properties" xmlns:ns2="e23ca20d-e806-4c9e-b878-4736b7510ebf" xmlns:ns3="a047cbd3-9713-4a0e-b8d6-9ec0196babd7" targetNamespace="http://schemas.microsoft.com/office/2006/metadata/properties" ma:root="true" ma:fieldsID="6e099475173d4cc61d7b9f7888644351" ns2:_="" ns3:_="">
    <xsd:import namespace="e23ca20d-e806-4c9e-b878-4736b7510ebf"/>
    <xsd:import namespace="a047cbd3-9713-4a0e-b8d6-9ec0196b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3ca20d-e806-4c9e-b878-4736b7510e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cbd3-9713-4a0e-b8d6-9ec0196bab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2091ce-fd9b-4db5-8673-2d680fab3e9e}" ma:internalName="TaxCatchAll" ma:showField="CatchAllData" ma:web="a047cbd3-9713-4a0e-b8d6-9ec0196b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3ca20d-e806-4c9e-b878-4736b7510ebf">
      <Terms xmlns="http://schemas.microsoft.com/office/infopath/2007/PartnerControls"/>
    </lcf76f155ced4ddcb4097134ff3c332f>
    <TaxCatchAll xmlns="a047cbd3-9713-4a0e-b8d6-9ec0196bab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044DD7-55A3-4F22-A2B1-E6796AEFF48A}"/>
</file>

<file path=customXml/itemProps2.xml><?xml version="1.0" encoding="utf-8"?>
<ds:datastoreItem xmlns:ds="http://schemas.openxmlformats.org/officeDocument/2006/customXml" ds:itemID="{9F939F1B-973C-449F-874B-09026969FAB4}">
  <ds:schemaRefs>
    <ds:schemaRef ds:uri="http://schemas.microsoft.com/office/2006/metadata/properties"/>
    <ds:schemaRef ds:uri="http://schemas.microsoft.com/office/infopath/2007/PartnerControls"/>
    <ds:schemaRef ds:uri="e23ca20d-e806-4c9e-b878-4736b7510ebf"/>
    <ds:schemaRef ds:uri="a047cbd3-9713-4a0e-b8d6-9ec0196babd7"/>
  </ds:schemaRefs>
</ds:datastoreItem>
</file>

<file path=customXml/itemProps3.xml><?xml version="1.0" encoding="utf-8"?>
<ds:datastoreItem xmlns:ds="http://schemas.openxmlformats.org/officeDocument/2006/customXml" ds:itemID="{4EEF2FF0-0565-497F-8B94-DF6B522721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Agromayor</dc:creator>
  <cp:lastModifiedBy>Roberto Agromayor</cp:lastModifiedBy>
  <dcterms:created xsi:type="dcterms:W3CDTF">2015-06-05T18:19:34Z</dcterms:created>
  <dcterms:modified xsi:type="dcterms:W3CDTF">2024-03-01T03:00:17Z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0x0101006F96BC8CFF460446802F03DD2955164D</vt:lpwstr>
  </property>
</Properties>
</file>